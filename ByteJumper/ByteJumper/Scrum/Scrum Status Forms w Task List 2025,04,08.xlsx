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93C8EB99-0B86-4AC9-85CD-88E3B8BFF3B6}" xr6:coauthVersionLast="47" xr6:coauthVersionMax="47" xr10:uidLastSave="{00000000-0000-0000-0000-000000000000}"/>
  <bookViews>
    <workbookView xWindow="-93" yWindow="-93" windowWidth="25786" windowHeight="13986" xr2:uid="{5969DE55-CD1B-4C6F-87B5-39DBF0EA983E}"/>
  </bookViews>
  <sheets>
    <sheet name="Cover" sheetId="1" r:id="rId1"/>
    <sheet name="15 Apr" sheetId="2" r:id="rId2"/>
    <sheet name="18 Apr" sheetId="3" r:id="rId3"/>
    <sheet name="22 Apr" sheetId="4" r:id="rId4"/>
    <sheet name="25 Apr" sheetId="5" r:id="rId5"/>
    <sheet name="6 May" sheetId="6" r:id="rId6"/>
    <sheet name="Final"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C16" i="1" s="1"/>
  <c r="B11" i="8"/>
  <c r="C11" i="8"/>
  <c r="D11" i="8"/>
  <c r="B12" i="8"/>
  <c r="C12" i="8"/>
  <c r="D12" i="8"/>
  <c r="B13" i="8"/>
  <c r="C13" i="8"/>
  <c r="D13" i="8"/>
  <c r="C10" i="8"/>
  <c r="D10" i="8"/>
  <c r="B10" i="8"/>
  <c r="C19" i="2"/>
  <c r="C20" i="2"/>
  <c r="C18" i="4"/>
  <c r="D18" i="4"/>
  <c r="C19" i="4"/>
  <c r="D19" i="4"/>
  <c r="C20" i="4"/>
  <c r="D20" i="4"/>
  <c r="B19" i="4"/>
  <c r="B20" i="4"/>
  <c r="B18" i="4"/>
  <c r="C18" i="3"/>
  <c r="D18" i="3"/>
  <c r="C19" i="3"/>
  <c r="D19" i="3"/>
  <c r="C20" i="3"/>
  <c r="D20" i="3"/>
  <c r="B19" i="3"/>
  <c r="B20" i="3"/>
  <c r="B18" i="3"/>
  <c r="C18" i="2"/>
  <c r="D18" i="2"/>
  <c r="D19" i="2"/>
  <c r="D20" i="2"/>
  <c r="B19" i="2"/>
  <c r="B20" i="2"/>
  <c r="B18" i="2"/>
  <c r="C2" i="2" l="1"/>
  <c r="C3" i="2" s="1"/>
  <c r="C16" i="2" l="1"/>
  <c r="C2" i="3"/>
  <c r="C3" i="3" s="1"/>
  <c r="C29" i="2" l="1"/>
  <c r="C16" i="3"/>
  <c r="C29" i="3" l="1"/>
  <c r="C2" i="4"/>
  <c r="C3" i="4" s="1"/>
  <c r="C16" i="4" l="1"/>
  <c r="C2" i="5" l="1"/>
  <c r="C3" i="5" s="1"/>
  <c r="C29" i="4"/>
  <c r="C16" i="5" l="1"/>
  <c r="C2" i="6" l="1"/>
  <c r="C3" i="6" s="1"/>
  <c r="C29" i="5"/>
  <c r="C16" i="6" l="1"/>
  <c r="C29" i="6" l="1"/>
  <c r="C2" i="8" s="1"/>
  <c r="C3" i="8" s="1"/>
  <c r="C29" i="8" l="1"/>
  <c r="C16" i="8" l="1"/>
</calcChain>
</file>

<file path=xl/sharedStrings.xml><?xml version="1.0" encoding="utf-8"?>
<sst xmlns="http://schemas.openxmlformats.org/spreadsheetml/2006/main" count="209" uniqueCount="63">
  <si>
    <t>Scrum Reporting Form</t>
  </si>
  <si>
    <t>Day</t>
  </si>
  <si>
    <t>Due Date</t>
  </si>
  <si>
    <t>Team Name:</t>
  </si>
  <si>
    <t>Team Members:</t>
  </si>
  <si>
    <t>Project:</t>
  </si>
  <si>
    <t>Division of Labor</t>
  </si>
  <si>
    <t>Module Name</t>
  </si>
  <si>
    <t>Author</t>
  </si>
  <si>
    <t xml:space="preserve">Plans for </t>
  </si>
  <si>
    <t>Team Member</t>
  </si>
  <si>
    <t>Tasks planned</t>
  </si>
  <si>
    <t>Due Day</t>
  </si>
  <si>
    <t>Tasks Due</t>
  </si>
  <si>
    <t>You have had an opportunity to decide on a project and start the general set-up for the project. The next step is to go through and identify all the tasks that need to be commpleted to have a finished product for the Final Project Presentation. The Fibonacci Sequence to assign importance of each task. Rate the tasks by the importance of when they need to be done as well as the importance to the completion of the project. Some tasks with a low priority may never be completed. Those can be saved for a later project. Come back to this list each day, mark tasks that have been completed as "Done" and repriotize the remaining tasks.</t>
  </si>
  <si>
    <t>Prriority</t>
  </si>
  <si>
    <t>This page is the last Scrum Form due and is  to record your final thoughts on the process</t>
  </si>
  <si>
    <t>Final Thoughts on this Process</t>
  </si>
  <si>
    <t>Status</t>
  </si>
  <si>
    <t>Either DONE or what problem needs to be solved before the task can be completed.</t>
  </si>
  <si>
    <t>Date</t>
  </si>
  <si>
    <t>Tasks planned for Project Presentration</t>
  </si>
  <si>
    <t>Presentaion</t>
  </si>
  <si>
    <t>None - complete</t>
  </si>
  <si>
    <t>All</t>
  </si>
  <si>
    <t>Decide on Project</t>
  </si>
  <si>
    <t>Break up project into modules (use UML diagrams)</t>
  </si>
  <si>
    <t>Priority</t>
  </si>
  <si>
    <t>TBA</t>
  </si>
  <si>
    <t>To Be Determined</t>
  </si>
  <si>
    <t>?</t>
  </si>
  <si>
    <t>Identify major parts of the project</t>
  </si>
  <si>
    <t>Story behind your project</t>
  </si>
  <si>
    <t>&lt;Choose Wisely&gt;</t>
  </si>
  <si>
    <t>&lt;list of team members&gt;</t>
  </si>
  <si>
    <t>&lt;Project name&gt;</t>
  </si>
  <si>
    <t>Video Presentation to describe project &amp; slides</t>
  </si>
  <si>
    <t>Final Scrum Report (this document)</t>
  </si>
  <si>
    <t>Slide Presentation</t>
  </si>
  <si>
    <t>Project Submittal</t>
  </si>
  <si>
    <t>Set up GitHub account and invite all participants including WayneWCook</t>
  </si>
  <si>
    <t>Video</t>
  </si>
  <si>
    <t>Project</t>
  </si>
  <si>
    <t>Slides</t>
  </si>
  <si>
    <t>Presentation</t>
  </si>
  <si>
    <t>Scrum Reports are based on Stories. Create a good story about what you want your project to do when it is completed.Tasks are often assigned as stories, with the author telling what they want each new portion of the project to do when it is complete. You should create a story for each task. This will help you have a better vision for what you want to create.</t>
  </si>
  <si>
    <t>Byte Jumper</t>
  </si>
  <si>
    <t>Ethan Eye, Aaron Villalobos</t>
  </si>
  <si>
    <t xml:space="preserve">Aaron Villalobos- User Interface, Player, Obstacles, Platform Timing and logic, Game </t>
  </si>
  <si>
    <t>Progression</t>
  </si>
  <si>
    <t>Stack Development</t>
  </si>
  <si>
    <t>Ethan Eye - Game mechanics, Player Movement, Game functionality, Score, Levels, Collison Detection</t>
  </si>
  <si>
    <t>Ethan</t>
  </si>
  <si>
    <t>Collsion Detection for game objects</t>
  </si>
  <si>
    <t>Set up player object, position, movement, simple game mechainics</t>
  </si>
  <si>
    <t>Aaron</t>
  </si>
  <si>
    <t>Ethan, Aaron</t>
  </si>
  <si>
    <t>Plan in detail more on how we want to combine tasks</t>
  </si>
  <si>
    <t>Object spawning, Display, Clock display, Level display</t>
  </si>
  <si>
    <t>Main interface and console, ASCII, player</t>
  </si>
  <si>
    <t>Obsticles, platforms, Object spawning</t>
  </si>
  <si>
    <t>Logic for counting, levels, clock, etc</t>
  </si>
  <si>
    <t>Debugging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</si>
</sst>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x14ac:knownFonts="1">
    <font>
      <sz val="11"/>
      <color theme="1"/>
      <name val="Calibri"/>
      <family val="2"/>
      <scheme val="minor"/>
    </font>
    <font>
      <b/>
      <sz val="11"/>
      <color theme="1"/>
      <name val="Calibri"/>
      <family val="2"/>
      <scheme val="minor"/>
    </font>
    <font>
      <sz val="18"/>
      <color theme="3"/>
      <name val="Calibri Light"/>
      <family val="2"/>
      <scheme val="major"/>
    </font>
    <font>
      <sz val="18"/>
      <color rgb="FF0070C0"/>
      <name val="Calibri Light"/>
      <family val="2"/>
      <scheme val="major"/>
    </font>
    <font>
      <sz val="14"/>
      <color theme="1"/>
      <name val="Calibri Light"/>
      <family val="2"/>
      <scheme val="major"/>
    </font>
    <font>
      <sz val="14"/>
      <color theme="1"/>
      <name val="Calibri"/>
      <family val="2"/>
      <scheme val="minor"/>
    </font>
    <font>
      <b/>
      <sz val="18"/>
      <color rgb="FF0070C0"/>
      <name val="Calibri Light"/>
      <family val="2"/>
      <scheme val="major"/>
    </font>
    <font>
      <b/>
      <sz val="18"/>
      <color indexed="30"/>
      <name val="Calibri Light"/>
      <family val="2"/>
      <scheme val="major"/>
    </font>
    <font>
      <b/>
      <sz val="11"/>
      <color indexed="8"/>
      <name val="Calibri"/>
      <family val="2"/>
      <scheme val="minor"/>
    </font>
  </fonts>
  <fills count="3">
    <fill>
      <patternFill patternType="none"/>
    </fill>
    <fill>
      <patternFill patternType="gray125"/>
    </fill>
    <fill>
      <patternFill patternType="solid">
        <fgColor theme="8" tint="0.79998168889431442"/>
        <bgColor indexed="64"/>
      </patternFill>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0" fillId="0" borderId="0" xfId="0" applyAlignment="1">
      <alignment horizontal="center"/>
    </xf>
    <xf numFmtId="164" fontId="0" fillId="0" borderId="0" xfId="0" applyNumberFormat="1" applyAlignment="1">
      <alignment horizontal="center"/>
    </xf>
    <xf numFmtId="0" fontId="1" fillId="0" borderId="0" xfId="0" applyFont="1"/>
    <xf numFmtId="0" fontId="1" fillId="0" borderId="0" xfId="0" applyFont="1" applyAlignment="1">
      <alignment horizontal="center"/>
    </xf>
    <xf numFmtId="0" fontId="0" fillId="0" borderId="0" xfId="0" applyAlignment="1">
      <alignment wrapText="1"/>
    </xf>
    <xf numFmtId="0" fontId="6" fillId="2" borderId="0" xfId="1" applyFont="1" applyFill="1" applyAlignment="1">
      <alignment horizontal="center" vertical="center"/>
    </xf>
    <xf numFmtId="0" fontId="7" fillId="2" borderId="0" xfId="1" applyFont="1" applyFill="1" applyAlignment="1">
      <alignment horizontal="center" vertical="center"/>
    </xf>
    <xf numFmtId="0" fontId="5" fillId="0" borderId="0" xfId="0" applyFont="1" applyAlignment="1">
      <alignment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7" fillId="2" borderId="0" xfId="1" applyFont="1" applyFill="1" applyAlignment="1">
      <alignment horizontal="center"/>
    </xf>
    <xf numFmtId="0" fontId="8" fillId="0" borderId="0" xfId="0" applyFont="1" applyAlignment="1">
      <alignment horizontal="center"/>
    </xf>
    <xf numFmtId="0" fontId="6" fillId="2" borderId="0" xfId="1" applyFont="1" applyFill="1" applyAlignment="1">
      <alignment horizontal="center"/>
    </xf>
    <xf numFmtId="0" fontId="4" fillId="0" borderId="0" xfId="1" applyFont="1" applyFill="1" applyAlignment="1">
      <alignment horizontal="center" wrapText="1"/>
    </xf>
    <xf numFmtId="0" fontId="3" fillId="2" borderId="0" xfId="1" applyFont="1" applyFill="1" applyAlignment="1">
      <alignment horizontal="center"/>
    </xf>
  </cellXfs>
  <cellStyles count="2">
    <cellStyle name="Normal" xfId="0" builtinId="0"/>
    <cellStyle name="Title" xfId="1"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2</xdr:col>
      <xdr:colOff>1037167</xdr:colOff>
      <xdr:row>31</xdr:row>
      <xdr:rowOff>50800</xdr:rowOff>
    </xdr:from>
    <xdr:ext cx="3306233" cy="264560"/>
    <xdr:sp macro="" textlink="">
      <xdr:nvSpPr>
        <xdr:cNvPr id="2" name="TextBox 1">
          <a:extLst>
            <a:ext uri="{FF2B5EF4-FFF2-40B4-BE49-F238E27FC236}">
              <a16:creationId xmlns:a16="http://schemas.microsoft.com/office/drawing/2014/main" id="{CF723E22-8A70-BA95-DAF4-08C439B14A99}"/>
            </a:ext>
          </a:extLst>
        </xdr:cNvPr>
        <xdr:cNvSpPr txBox="1"/>
      </xdr:nvSpPr>
      <xdr:spPr>
        <a:xfrm>
          <a:off x="2789767" y="7996767"/>
          <a:ext cx="330623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2</xdr:col>
      <xdr:colOff>0</xdr:colOff>
      <xdr:row>29</xdr:row>
      <xdr:rowOff>0</xdr:rowOff>
    </xdr:from>
    <xdr:to>
      <xdr:col>2</xdr:col>
      <xdr:colOff>4643967</xdr:colOff>
      <xdr:row>43</xdr:row>
      <xdr:rowOff>59266</xdr:rowOff>
    </xdr:to>
    <xdr:sp macro="" textlink="">
      <xdr:nvSpPr>
        <xdr:cNvPr id="1025" name="Text Box 1">
          <a:extLst>
            <a:ext uri="{FF2B5EF4-FFF2-40B4-BE49-F238E27FC236}">
              <a16:creationId xmlns:a16="http://schemas.microsoft.com/office/drawing/2014/main" id="{289CA3DA-FBBB-089C-6D92-C6A4A2B7E713}"/>
            </a:ext>
          </a:extLst>
        </xdr:cNvPr>
        <xdr:cNvSpPr txBox="1">
          <a:spLocks noChangeArrowheads="1"/>
        </xdr:cNvSpPr>
      </xdr:nvSpPr>
      <xdr:spPr bwMode="auto">
        <a:xfrm>
          <a:off x="1752600" y="7399867"/>
          <a:ext cx="4643967" cy="2789766"/>
        </a:xfrm>
        <a:prstGeom prst="rect">
          <a:avLst/>
        </a:prstGeom>
        <a:solidFill>
          <a:srgbClr val="FFFFFF"/>
        </a:solidFill>
        <a:ln w="9525">
          <a:solidFill>
            <a:srgbClr val="000000"/>
          </a:solidFill>
          <a:miter lim="800000"/>
          <a:headEnd/>
          <a:tailEnd/>
        </a:ln>
      </xdr:spPr>
      <xdr:txBody>
        <a:bodyPr vertOverflow="clip" wrap="square" lIns="54864" tIns="50292" rIns="0" bIns="0" anchor="t" upright="1"/>
        <a:lstStyle/>
        <a:p>
          <a:pPr algn="l" rtl="0">
            <a:defRPr sz="1000"/>
          </a:pPr>
          <a:r>
            <a:rPr lang="en-US" sz="1100" b="0" i="0" u="none" strike="noStrike" baseline="0">
              <a:solidFill>
                <a:srgbClr val="000000"/>
              </a:solidFill>
              <a:latin typeface="Calibri"/>
              <a:cs typeface="Calibri"/>
            </a:rPr>
            <a:t>As a player, I want the character to jump when I press the spacebar, so I can advance to new levels. I want to be able to move and avoid obsticles using the WASD keys. </a:t>
          </a:r>
          <a:r>
            <a:rPr lang="en-US" sz="1100"/>
            <a:t>I want obstacles to appear and move toward me, so the game feels challenging. I want the game to end if I hit an obstacle, so there are real consequences and I have to try again. I want my score to increase the longer I survive, so I feel rewarded for doing well. I want a clear start screen and game over message, so I know when the game begins and ends.</a:t>
          </a:r>
        </a:p>
        <a:p>
          <a:pPr algn="l" rtl="0">
            <a:defRPr sz="1000"/>
          </a:pPr>
          <a:endParaRPr lang="en-US" sz="1100" b="0" i="0" u="none" strike="noStrike" baseline="0">
            <a:solidFill>
              <a:srgbClr val="000000"/>
            </a:solidFill>
            <a:latin typeface="Calibri"/>
            <a:cs typeface="Calibri"/>
          </a:endParaRPr>
        </a:p>
        <a:p>
          <a:pPr algn="l" rtl="0">
            <a:defRPr sz="1000"/>
          </a:pPr>
          <a:endParaRPr lang="en-US" sz="1100" b="0" i="0" u="none" strike="noStrike" baseline="0">
            <a:solidFill>
              <a:srgbClr val="000000"/>
            </a:solidFill>
            <a:latin typeface="Calibri"/>
            <a:cs typeface="Calibri"/>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BDE91-026E-42C1-9643-D39E9BFB7C68}">
  <dimension ref="A1:E49"/>
  <sheetViews>
    <sheetView tabSelected="1" workbookViewId="0">
      <selection activeCell="C30" sqref="C30:C49"/>
    </sheetView>
  </sheetViews>
  <sheetFormatPr defaultRowHeight="14.35" x14ac:dyDescent="0.5"/>
  <cols>
    <col min="2" max="2" width="15.41015625" customWidth="1"/>
    <col min="3" max="3" width="66.87890625" customWidth="1"/>
  </cols>
  <sheetData>
    <row r="1" spans="1:5" x14ac:dyDescent="0.5">
      <c r="A1" s="1" t="s">
        <v>0</v>
      </c>
      <c r="B1" s="1"/>
      <c r="C1" s="1"/>
    </row>
    <row r="2" spans="1:5" x14ac:dyDescent="0.5">
      <c r="B2" s="3" t="s">
        <v>1</v>
      </c>
      <c r="C2" s="2">
        <v>45757</v>
      </c>
    </row>
    <row r="3" spans="1:5" x14ac:dyDescent="0.5">
      <c r="B3" s="3" t="s">
        <v>2</v>
      </c>
      <c r="C3" s="2">
        <f>C2+5</f>
        <v>45762</v>
      </c>
    </row>
    <row r="4" spans="1:5" x14ac:dyDescent="0.5">
      <c r="B4" s="3" t="s">
        <v>3</v>
      </c>
      <c r="C4" t="s">
        <v>50</v>
      </c>
    </row>
    <row r="5" spans="1:5" x14ac:dyDescent="0.5">
      <c r="B5" s="3" t="s">
        <v>4</v>
      </c>
      <c r="C5" t="s">
        <v>47</v>
      </c>
    </row>
    <row r="6" spans="1:5" x14ac:dyDescent="0.5">
      <c r="B6" s="3" t="s">
        <v>5</v>
      </c>
      <c r="C6" t="s">
        <v>46</v>
      </c>
    </row>
    <row r="8" spans="1:5" x14ac:dyDescent="0.5">
      <c r="B8" s="11" t="s">
        <v>6</v>
      </c>
      <c r="C8" s="11"/>
    </row>
    <row r="9" spans="1:5" x14ac:dyDescent="0.5">
      <c r="B9" s="1" t="s">
        <v>7</v>
      </c>
      <c r="C9" s="1" t="s">
        <v>8</v>
      </c>
    </row>
    <row r="10" spans="1:5" x14ac:dyDescent="0.5">
      <c r="C10" t="s">
        <v>51</v>
      </c>
    </row>
    <row r="11" spans="1:5" x14ac:dyDescent="0.5">
      <c r="C11" t="s">
        <v>48</v>
      </c>
    </row>
    <row r="12" spans="1:5" x14ac:dyDescent="0.5">
      <c r="C12" t="s">
        <v>49</v>
      </c>
    </row>
    <row r="15" spans="1:5" ht="123.75" customHeight="1" x14ac:dyDescent="0.5">
      <c r="C15" s="10" t="s">
        <v>14</v>
      </c>
      <c r="D15" s="10"/>
      <c r="E15" s="5"/>
    </row>
    <row r="16" spans="1:5" x14ac:dyDescent="0.5">
      <c r="B16" s="4" t="s">
        <v>9</v>
      </c>
      <c r="C16" s="2">
        <f>$C$3</f>
        <v>45762</v>
      </c>
    </row>
    <row r="17" spans="2:4" x14ac:dyDescent="0.5">
      <c r="B17" s="4" t="s">
        <v>10</v>
      </c>
      <c r="C17" s="1" t="s">
        <v>11</v>
      </c>
      <c r="D17" t="s">
        <v>15</v>
      </c>
    </row>
    <row r="18" spans="2:4" x14ac:dyDescent="0.5">
      <c r="B18" t="s">
        <v>24</v>
      </c>
      <c r="C18" t="s">
        <v>25</v>
      </c>
      <c r="D18" s="1">
        <v>1</v>
      </c>
    </row>
    <row r="19" spans="2:4" x14ac:dyDescent="0.5">
      <c r="B19" t="s">
        <v>24</v>
      </c>
      <c r="C19" t="s">
        <v>31</v>
      </c>
      <c r="D19" s="1">
        <v>2</v>
      </c>
    </row>
    <row r="20" spans="2:4" x14ac:dyDescent="0.5">
      <c r="B20" t="s">
        <v>24</v>
      </c>
      <c r="C20" t="s">
        <v>40</v>
      </c>
      <c r="D20" s="1">
        <v>3</v>
      </c>
    </row>
    <row r="21" spans="2:4" x14ac:dyDescent="0.5">
      <c r="B21" t="s">
        <v>56</v>
      </c>
      <c r="C21" t="s">
        <v>57</v>
      </c>
      <c r="D21" s="1">
        <v>3</v>
      </c>
    </row>
    <row r="22" spans="2:4" x14ac:dyDescent="0.5">
      <c r="B22" t="s">
        <v>52</v>
      </c>
      <c r="C22" t="s">
        <v>54</v>
      </c>
      <c r="D22" s="1">
        <v>3</v>
      </c>
    </row>
    <row r="23" spans="2:4" x14ac:dyDescent="0.5">
      <c r="B23" t="s">
        <v>52</v>
      </c>
      <c r="C23" t="s">
        <v>53</v>
      </c>
      <c r="D23" s="1">
        <v>3</v>
      </c>
    </row>
    <row r="24" spans="2:4" x14ac:dyDescent="0.5">
      <c r="B24" t="s">
        <v>56</v>
      </c>
      <c r="C24" t="s">
        <v>61</v>
      </c>
      <c r="D24" s="1">
        <v>2</v>
      </c>
    </row>
    <row r="25" spans="2:4" x14ac:dyDescent="0.5">
      <c r="B25" t="s">
        <v>55</v>
      </c>
      <c r="C25" t="s">
        <v>59</v>
      </c>
      <c r="D25" s="1">
        <v>2</v>
      </c>
    </row>
    <row r="26" spans="2:4" x14ac:dyDescent="0.5">
      <c r="B26" t="s">
        <v>55</v>
      </c>
      <c r="C26" t="s">
        <v>58</v>
      </c>
      <c r="D26" s="1">
        <v>2</v>
      </c>
    </row>
    <row r="27" spans="2:4" x14ac:dyDescent="0.5">
      <c r="B27" t="s">
        <v>55</v>
      </c>
      <c r="C27" t="s">
        <v>60</v>
      </c>
      <c r="D27" s="1">
        <v>2</v>
      </c>
    </row>
    <row r="28" spans="2:4" x14ac:dyDescent="0.5">
      <c r="B28" t="s">
        <v>56</v>
      </c>
      <c r="C28" t="s">
        <v>62</v>
      </c>
      <c r="D28" s="1">
        <v>3</v>
      </c>
    </row>
    <row r="29" spans="2:4" ht="72" thickBot="1" x14ac:dyDescent="0.55000000000000004">
      <c r="C29" s="9" t="s">
        <v>45</v>
      </c>
    </row>
    <row r="30" spans="2:4" ht="28.7" x14ac:dyDescent="0.5">
      <c r="B30" s="5" t="s">
        <v>32</v>
      </c>
      <c r="C30" s="12"/>
    </row>
    <row r="31" spans="2:4" x14ac:dyDescent="0.5">
      <c r="C31" s="13"/>
    </row>
    <row r="32" spans="2:4" x14ac:dyDescent="0.5">
      <c r="C32" s="13"/>
    </row>
    <row r="33" spans="3:3" x14ac:dyDescent="0.5">
      <c r="C33" s="13"/>
    </row>
    <row r="34" spans="3:3" x14ac:dyDescent="0.5">
      <c r="C34" s="13"/>
    </row>
    <row r="35" spans="3:3" x14ac:dyDescent="0.5">
      <c r="C35" s="13"/>
    </row>
    <row r="36" spans="3:3" x14ac:dyDescent="0.5">
      <c r="C36" s="13"/>
    </row>
    <row r="37" spans="3:3" x14ac:dyDescent="0.5">
      <c r="C37" s="13"/>
    </row>
    <row r="38" spans="3:3" x14ac:dyDescent="0.5">
      <c r="C38" s="13"/>
    </row>
    <row r="39" spans="3:3" x14ac:dyDescent="0.5">
      <c r="C39" s="13"/>
    </row>
    <row r="40" spans="3:3" x14ac:dyDescent="0.5">
      <c r="C40" s="13"/>
    </row>
    <row r="41" spans="3:3" x14ac:dyDescent="0.5">
      <c r="C41" s="13"/>
    </row>
    <row r="42" spans="3:3" x14ac:dyDescent="0.5">
      <c r="C42" s="13"/>
    </row>
    <row r="43" spans="3:3" x14ac:dyDescent="0.5">
      <c r="C43" s="13"/>
    </row>
    <row r="44" spans="3:3" x14ac:dyDescent="0.5">
      <c r="C44" s="13"/>
    </row>
    <row r="45" spans="3:3" x14ac:dyDescent="0.5">
      <c r="C45" s="13"/>
    </row>
    <row r="46" spans="3:3" x14ac:dyDescent="0.5">
      <c r="C46" s="13"/>
    </row>
    <row r="47" spans="3:3" x14ac:dyDescent="0.5">
      <c r="C47" s="13"/>
    </row>
    <row r="48" spans="3:3" x14ac:dyDescent="0.5">
      <c r="C48" s="13"/>
    </row>
    <row r="49" spans="3:3" ht="14.7" thickBot="1" x14ac:dyDescent="0.55000000000000004">
      <c r="C49" s="14"/>
    </row>
  </sheetData>
  <mergeCells count="3">
    <mergeCell ref="C15:D15"/>
    <mergeCell ref="B8:C8"/>
    <mergeCell ref="C30:C49"/>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DC301-48E9-474C-9B8D-1FA90964021A}">
  <dimension ref="A1:N33"/>
  <sheetViews>
    <sheetView workbookViewId="0">
      <selection activeCell="C31" sqref="C31"/>
    </sheetView>
  </sheetViews>
  <sheetFormatPr defaultRowHeight="14.35" x14ac:dyDescent="0.5"/>
  <cols>
    <col min="2" max="2" width="15.41015625" bestFit="1" customWidth="1"/>
    <col min="3" max="3" width="46" customWidth="1"/>
    <col min="4" max="4" width="12.703125" bestFit="1" customWidth="1"/>
    <col min="5" max="5" width="40.703125" customWidth="1"/>
  </cols>
  <sheetData>
    <row r="1" spans="1:14" ht="23.35" x14ac:dyDescent="0.8">
      <c r="A1" s="15" t="s">
        <v>0</v>
      </c>
      <c r="B1" s="15"/>
      <c r="C1" s="15"/>
      <c r="D1" s="7" t="s">
        <v>27</v>
      </c>
      <c r="E1" s="7" t="s">
        <v>18</v>
      </c>
    </row>
    <row r="2" spans="1:14" ht="39" customHeight="1" x14ac:dyDescent="0.6">
      <c r="B2" t="s">
        <v>20</v>
      </c>
      <c r="C2" s="2">
        <f>Cover!C3</f>
        <v>45762</v>
      </c>
      <c r="E2" s="5" t="s">
        <v>19</v>
      </c>
      <c r="F2" s="8"/>
      <c r="G2" s="8"/>
      <c r="H2" s="8"/>
      <c r="I2" s="8"/>
      <c r="J2" s="8"/>
      <c r="K2" s="8"/>
      <c r="L2" s="8"/>
      <c r="M2" s="8"/>
      <c r="N2" s="8"/>
    </row>
    <row r="3" spans="1:14" x14ac:dyDescent="0.5">
      <c r="B3" t="s">
        <v>12</v>
      </c>
      <c r="C3" s="2">
        <f>C2+3</f>
        <v>45765</v>
      </c>
    </row>
    <row r="4" spans="1:14" x14ac:dyDescent="0.5">
      <c r="B4" t="s">
        <v>3</v>
      </c>
      <c r="C4" t="s">
        <v>33</v>
      </c>
    </row>
    <row r="5" spans="1:14" x14ac:dyDescent="0.5">
      <c r="B5" t="s">
        <v>4</v>
      </c>
      <c r="C5" t="s">
        <v>34</v>
      </c>
    </row>
    <row r="6" spans="1:14" x14ac:dyDescent="0.5">
      <c r="B6" t="s">
        <v>5</v>
      </c>
      <c r="C6" t="s">
        <v>35</v>
      </c>
    </row>
    <row r="8" spans="1:14" x14ac:dyDescent="0.5">
      <c r="B8" s="11" t="s">
        <v>6</v>
      </c>
      <c r="C8" s="11"/>
    </row>
    <row r="9" spans="1:14" x14ac:dyDescent="0.5">
      <c r="B9" s="1" t="s">
        <v>7</v>
      </c>
      <c r="C9" s="1" t="s">
        <v>8</v>
      </c>
    </row>
    <row r="16" spans="1:14" x14ac:dyDescent="0.5">
      <c r="B16" t="s">
        <v>13</v>
      </c>
      <c r="C16" s="2">
        <f>C2</f>
        <v>45762</v>
      </c>
      <c r="D16" s="4" t="s">
        <v>15</v>
      </c>
    </row>
    <row r="17" spans="2:4" x14ac:dyDescent="0.5">
      <c r="B17" s="4" t="s">
        <v>10</v>
      </c>
      <c r="C17" s="4" t="s">
        <v>11</v>
      </c>
    </row>
    <row r="18" spans="2:4" x14ac:dyDescent="0.5">
      <c r="B18" t="str">
        <f>Cover!B18</f>
        <v>All</v>
      </c>
      <c r="C18" t="str">
        <f>Cover!C18</f>
        <v>Decide on Project</v>
      </c>
      <c r="D18" s="1">
        <f>Cover!D18</f>
        <v>1</v>
      </c>
    </row>
    <row r="19" spans="2:4" x14ac:dyDescent="0.5">
      <c r="B19" t="str">
        <f>Cover!B19</f>
        <v>All</v>
      </c>
      <c r="C19" t="str">
        <f>Cover!C19</f>
        <v>Identify major parts of the project</v>
      </c>
      <c r="D19" s="1">
        <f>Cover!D19</f>
        <v>2</v>
      </c>
    </row>
    <row r="20" spans="2:4" x14ac:dyDescent="0.5">
      <c r="B20" t="str">
        <f>Cover!B20</f>
        <v>All</v>
      </c>
      <c r="C20" t="str">
        <f>Cover!C20</f>
        <v>Set up GitHub account and invite all participants including WayneWCook</v>
      </c>
      <c r="D20" s="1">
        <f>Cover!D20</f>
        <v>3</v>
      </c>
    </row>
    <row r="21" spans="2:4" x14ac:dyDescent="0.5">
      <c r="D21" s="1"/>
    </row>
    <row r="29" spans="2:4" x14ac:dyDescent="0.5">
      <c r="B29" s="4" t="s">
        <v>9</v>
      </c>
      <c r="C29" s="2">
        <f>$C$3</f>
        <v>45765</v>
      </c>
    </row>
    <row r="30" spans="2:4" x14ac:dyDescent="0.5">
      <c r="B30" s="4" t="s">
        <v>10</v>
      </c>
      <c r="C30" s="1" t="s">
        <v>11</v>
      </c>
    </row>
    <row r="31" spans="2:4" x14ac:dyDescent="0.5">
      <c r="B31" t="s">
        <v>24</v>
      </c>
      <c r="C31" t="s">
        <v>26</v>
      </c>
      <c r="D31" s="1" t="s">
        <v>30</v>
      </c>
    </row>
    <row r="32" spans="2:4" x14ac:dyDescent="0.5">
      <c r="B32" t="s">
        <v>28</v>
      </c>
      <c r="C32" t="s">
        <v>29</v>
      </c>
      <c r="D32" s="1" t="s">
        <v>30</v>
      </c>
    </row>
    <row r="33" spans="2:4" x14ac:dyDescent="0.5">
      <c r="B33" t="s">
        <v>28</v>
      </c>
      <c r="C33" t="s">
        <v>29</v>
      </c>
      <c r="D33" s="1" t="s">
        <v>30</v>
      </c>
    </row>
  </sheetData>
  <mergeCells count="2">
    <mergeCell ref="A1:C1"/>
    <mergeCell ref="B8:C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F7190-C596-42CC-8496-9A58A8133598}">
  <dimension ref="A1:N33"/>
  <sheetViews>
    <sheetView topLeftCell="A10" workbookViewId="0">
      <selection activeCell="C4" sqref="C4"/>
    </sheetView>
  </sheetViews>
  <sheetFormatPr defaultRowHeight="14.35" x14ac:dyDescent="0.5"/>
  <cols>
    <col min="2" max="2" width="15.41015625" bestFit="1" customWidth="1"/>
    <col min="3" max="3" width="46" customWidth="1"/>
    <col min="4" max="4" width="12.703125" bestFit="1" customWidth="1"/>
    <col min="5" max="5" width="40.703125" customWidth="1"/>
  </cols>
  <sheetData>
    <row r="1" spans="1:14" ht="23.35" x14ac:dyDescent="0.8">
      <c r="A1" s="15" t="s">
        <v>0</v>
      </c>
      <c r="B1" s="15"/>
      <c r="C1" s="15"/>
      <c r="D1" s="7" t="s">
        <v>27</v>
      </c>
      <c r="E1" s="7" t="s">
        <v>18</v>
      </c>
    </row>
    <row r="2" spans="1:14" ht="39" customHeight="1" x14ac:dyDescent="0.6">
      <c r="B2" t="s">
        <v>20</v>
      </c>
      <c r="C2" s="2">
        <f>'15 Apr'!C3</f>
        <v>45765</v>
      </c>
      <c r="E2" s="5" t="s">
        <v>19</v>
      </c>
      <c r="F2" s="8"/>
      <c r="G2" s="8"/>
      <c r="H2" s="8"/>
      <c r="I2" s="8"/>
      <c r="J2" s="8"/>
      <c r="K2" s="8"/>
      <c r="L2" s="8"/>
      <c r="M2" s="8"/>
      <c r="N2" s="8"/>
    </row>
    <row r="3" spans="1:14" x14ac:dyDescent="0.5">
      <c r="B3" t="s">
        <v>12</v>
      </c>
      <c r="C3" s="2">
        <f>C2+4</f>
        <v>45769</v>
      </c>
    </row>
    <row r="4" spans="1:14" x14ac:dyDescent="0.5">
      <c r="B4" t="s">
        <v>3</v>
      </c>
      <c r="C4" t="s">
        <v>33</v>
      </c>
    </row>
    <row r="5" spans="1:14" x14ac:dyDescent="0.5">
      <c r="B5" t="s">
        <v>4</v>
      </c>
      <c r="C5" t="s">
        <v>34</v>
      </c>
    </row>
    <row r="6" spans="1:14" x14ac:dyDescent="0.5">
      <c r="B6" t="s">
        <v>5</v>
      </c>
      <c r="C6" t="s">
        <v>35</v>
      </c>
    </row>
    <row r="8" spans="1:14" x14ac:dyDescent="0.5">
      <c r="B8" s="11" t="s">
        <v>6</v>
      </c>
      <c r="C8" s="11"/>
    </row>
    <row r="9" spans="1:14" x14ac:dyDescent="0.5">
      <c r="B9" s="1" t="s">
        <v>7</v>
      </c>
      <c r="C9" s="1" t="s">
        <v>8</v>
      </c>
    </row>
    <row r="16" spans="1:14" x14ac:dyDescent="0.5">
      <c r="B16" t="s">
        <v>13</v>
      </c>
      <c r="C16" s="2">
        <f>C2</f>
        <v>45765</v>
      </c>
      <c r="D16" s="4" t="s">
        <v>15</v>
      </c>
    </row>
    <row r="17" spans="2:4" x14ac:dyDescent="0.5">
      <c r="B17" s="4" t="s">
        <v>10</v>
      </c>
      <c r="C17" s="4" t="s">
        <v>11</v>
      </c>
    </row>
    <row r="18" spans="2:4" x14ac:dyDescent="0.5">
      <c r="B18" t="str">
        <f>'15 Apr'!B31</f>
        <v>All</v>
      </c>
      <c r="C18" t="str">
        <f>'15 Apr'!C31</f>
        <v>Break up project into modules (use UML diagrams)</v>
      </c>
      <c r="D18" s="1" t="str">
        <f>'15 Apr'!D31</f>
        <v>?</v>
      </c>
    </row>
    <row r="19" spans="2:4" x14ac:dyDescent="0.5">
      <c r="B19" t="str">
        <f>'15 Apr'!B32</f>
        <v>TBA</v>
      </c>
      <c r="C19" t="str">
        <f>'15 Apr'!C32</f>
        <v>To Be Determined</v>
      </c>
      <c r="D19" s="1" t="str">
        <f>'15 Apr'!D32</f>
        <v>?</v>
      </c>
    </row>
    <row r="20" spans="2:4" x14ac:dyDescent="0.5">
      <c r="B20" t="str">
        <f>'15 Apr'!B33</f>
        <v>TBA</v>
      </c>
      <c r="C20" t="str">
        <f>'15 Apr'!C33</f>
        <v>To Be Determined</v>
      </c>
      <c r="D20" s="1" t="str">
        <f>'15 Apr'!D33</f>
        <v>?</v>
      </c>
    </row>
    <row r="29" spans="2:4" x14ac:dyDescent="0.5">
      <c r="B29" s="4" t="s">
        <v>9</v>
      </c>
      <c r="C29" s="2">
        <f>$C$3</f>
        <v>45769</v>
      </c>
    </row>
    <row r="30" spans="2:4" x14ac:dyDescent="0.5">
      <c r="B30" s="4" t="s">
        <v>10</v>
      </c>
      <c r="C30" s="1" t="s">
        <v>11</v>
      </c>
    </row>
    <row r="31" spans="2:4" x14ac:dyDescent="0.5">
      <c r="B31" t="s">
        <v>28</v>
      </c>
      <c r="C31" t="s">
        <v>29</v>
      </c>
      <c r="D31" s="1" t="s">
        <v>30</v>
      </c>
    </row>
    <row r="32" spans="2:4" x14ac:dyDescent="0.5">
      <c r="B32" t="s">
        <v>28</v>
      </c>
      <c r="C32" t="s">
        <v>29</v>
      </c>
      <c r="D32" s="1" t="s">
        <v>30</v>
      </c>
    </row>
    <row r="33" spans="2:4" x14ac:dyDescent="0.5">
      <c r="B33" t="s">
        <v>28</v>
      </c>
      <c r="C33" t="s">
        <v>29</v>
      </c>
      <c r="D33" s="1" t="s">
        <v>30</v>
      </c>
    </row>
  </sheetData>
  <mergeCells count="2">
    <mergeCell ref="A1:C1"/>
    <mergeCell ref="B8:C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55316-38BB-46D3-AE3F-BA55423B0250}">
  <dimension ref="A1:N30"/>
  <sheetViews>
    <sheetView topLeftCell="A4" workbookViewId="0">
      <selection activeCell="C4" sqref="C4"/>
    </sheetView>
  </sheetViews>
  <sheetFormatPr defaultRowHeight="14.35" x14ac:dyDescent="0.5"/>
  <cols>
    <col min="2" max="2" width="15.41015625" bestFit="1" customWidth="1"/>
    <col min="3" max="3" width="46" customWidth="1"/>
    <col min="4" max="4" width="12.703125" bestFit="1" customWidth="1"/>
    <col min="5" max="5" width="40.703125" customWidth="1"/>
  </cols>
  <sheetData>
    <row r="1" spans="1:14" ht="23.35" x14ac:dyDescent="0.8">
      <c r="A1" s="15" t="s">
        <v>0</v>
      </c>
      <c r="B1" s="15"/>
      <c r="C1" s="15"/>
      <c r="D1" s="7" t="s">
        <v>27</v>
      </c>
      <c r="E1" s="7" t="s">
        <v>18</v>
      </c>
    </row>
    <row r="2" spans="1:14" ht="39" customHeight="1" x14ac:dyDescent="0.6">
      <c r="B2" t="s">
        <v>20</v>
      </c>
      <c r="C2" s="2">
        <f>'18 Apr'!C3</f>
        <v>45769</v>
      </c>
      <c r="E2" s="5" t="s">
        <v>19</v>
      </c>
      <c r="F2" s="8"/>
      <c r="G2" s="8"/>
      <c r="H2" s="8"/>
      <c r="I2" s="8"/>
      <c r="J2" s="8"/>
      <c r="K2" s="8"/>
      <c r="L2" s="8"/>
      <c r="M2" s="8"/>
      <c r="N2" s="8"/>
    </row>
    <row r="3" spans="1:14" x14ac:dyDescent="0.5">
      <c r="B3" t="s">
        <v>12</v>
      </c>
      <c r="C3" s="2">
        <f>C2+3</f>
        <v>45772</v>
      </c>
    </row>
    <row r="4" spans="1:14" x14ac:dyDescent="0.5">
      <c r="B4" t="s">
        <v>3</v>
      </c>
      <c r="C4" t="s">
        <v>33</v>
      </c>
    </row>
    <row r="5" spans="1:14" x14ac:dyDescent="0.5">
      <c r="B5" t="s">
        <v>4</v>
      </c>
      <c r="C5" t="s">
        <v>34</v>
      </c>
    </row>
    <row r="6" spans="1:14" x14ac:dyDescent="0.5">
      <c r="B6" t="s">
        <v>5</v>
      </c>
      <c r="C6" t="s">
        <v>35</v>
      </c>
    </row>
    <row r="8" spans="1:14" x14ac:dyDescent="0.5">
      <c r="B8" s="16" t="s">
        <v>6</v>
      </c>
      <c r="C8" s="16"/>
    </row>
    <row r="9" spans="1:14" x14ac:dyDescent="0.5">
      <c r="B9" s="1" t="s">
        <v>7</v>
      </c>
      <c r="C9" s="1" t="s">
        <v>8</v>
      </c>
    </row>
    <row r="16" spans="1:14" x14ac:dyDescent="0.5">
      <c r="B16" t="s">
        <v>13</v>
      </c>
      <c r="C16" s="2">
        <f>C2</f>
        <v>45769</v>
      </c>
      <c r="D16" s="4" t="s">
        <v>15</v>
      </c>
    </row>
    <row r="17" spans="2:4" x14ac:dyDescent="0.5">
      <c r="B17" s="4" t="s">
        <v>10</v>
      </c>
      <c r="C17" s="4" t="s">
        <v>11</v>
      </c>
    </row>
    <row r="18" spans="2:4" x14ac:dyDescent="0.5">
      <c r="B18" t="str">
        <f>'18 Apr'!B31</f>
        <v>TBA</v>
      </c>
      <c r="C18" t="str">
        <f>'18 Apr'!C31</f>
        <v>To Be Determined</v>
      </c>
      <c r="D18" s="1" t="str">
        <f>'18 Apr'!D31</f>
        <v>?</v>
      </c>
    </row>
    <row r="19" spans="2:4" x14ac:dyDescent="0.5">
      <c r="B19" t="str">
        <f>'18 Apr'!B32</f>
        <v>TBA</v>
      </c>
      <c r="C19" t="str">
        <f>'18 Apr'!C32</f>
        <v>To Be Determined</v>
      </c>
      <c r="D19" s="1" t="str">
        <f>'18 Apr'!D32</f>
        <v>?</v>
      </c>
    </row>
    <row r="20" spans="2:4" x14ac:dyDescent="0.5">
      <c r="B20" t="str">
        <f>'18 Apr'!B33</f>
        <v>TBA</v>
      </c>
      <c r="C20" t="str">
        <f>'18 Apr'!C33</f>
        <v>To Be Determined</v>
      </c>
      <c r="D20" s="1" t="str">
        <f>'18 Apr'!D33</f>
        <v>?</v>
      </c>
    </row>
    <row r="29" spans="2:4" x14ac:dyDescent="0.5">
      <c r="B29" s="4" t="s">
        <v>9</v>
      </c>
      <c r="C29" s="2">
        <f>$C$3</f>
        <v>45772</v>
      </c>
    </row>
    <row r="30" spans="2:4" x14ac:dyDescent="0.5">
      <c r="B30" s="4" t="s">
        <v>10</v>
      </c>
      <c r="C30" s="1" t="s">
        <v>11</v>
      </c>
    </row>
  </sheetData>
  <mergeCells count="2">
    <mergeCell ref="A1:C1"/>
    <mergeCell ref="B8:C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BDEB0-840B-4C3F-B27A-28B18F4DD1A5}">
  <dimension ref="A1:N30"/>
  <sheetViews>
    <sheetView topLeftCell="A13" workbookViewId="0">
      <selection activeCell="C4" sqref="C4"/>
    </sheetView>
  </sheetViews>
  <sheetFormatPr defaultRowHeight="14.35" x14ac:dyDescent="0.5"/>
  <cols>
    <col min="2" max="2" width="15.41015625" bestFit="1" customWidth="1"/>
    <col min="3" max="3" width="46" customWidth="1"/>
    <col min="4" max="4" width="12.703125" bestFit="1" customWidth="1"/>
    <col min="5" max="5" width="40.703125" customWidth="1"/>
  </cols>
  <sheetData>
    <row r="1" spans="1:14" ht="23.35" x14ac:dyDescent="0.8">
      <c r="A1" s="15" t="s">
        <v>0</v>
      </c>
      <c r="B1" s="15"/>
      <c r="C1" s="15"/>
      <c r="D1" s="7" t="s">
        <v>27</v>
      </c>
      <c r="E1" s="7" t="s">
        <v>18</v>
      </c>
    </row>
    <row r="2" spans="1:14" ht="39" customHeight="1" x14ac:dyDescent="0.6">
      <c r="B2" t="s">
        <v>20</v>
      </c>
      <c r="C2" s="2">
        <f>'22 Apr'!C3</f>
        <v>45772</v>
      </c>
      <c r="E2" s="5" t="s">
        <v>19</v>
      </c>
      <c r="F2" s="8"/>
      <c r="G2" s="8"/>
      <c r="H2" s="8"/>
      <c r="I2" s="8"/>
      <c r="J2" s="8"/>
      <c r="K2" s="8"/>
      <c r="L2" s="8"/>
      <c r="M2" s="8"/>
      <c r="N2" s="8"/>
    </row>
    <row r="3" spans="1:14" x14ac:dyDescent="0.5">
      <c r="B3" t="s">
        <v>12</v>
      </c>
      <c r="C3" s="2">
        <f>C2+11</f>
        <v>45783</v>
      </c>
    </row>
    <row r="4" spans="1:14" x14ac:dyDescent="0.5">
      <c r="B4" t="s">
        <v>3</v>
      </c>
      <c r="C4" t="s">
        <v>33</v>
      </c>
    </row>
    <row r="5" spans="1:14" x14ac:dyDescent="0.5">
      <c r="B5" t="s">
        <v>4</v>
      </c>
      <c r="C5" t="s">
        <v>34</v>
      </c>
    </row>
    <row r="6" spans="1:14" x14ac:dyDescent="0.5">
      <c r="B6" t="s">
        <v>5</v>
      </c>
      <c r="C6" t="s">
        <v>35</v>
      </c>
    </row>
    <row r="8" spans="1:14" x14ac:dyDescent="0.5">
      <c r="B8" s="16" t="s">
        <v>6</v>
      </c>
      <c r="C8" s="16"/>
    </row>
    <row r="9" spans="1:14" x14ac:dyDescent="0.5">
      <c r="B9" s="1" t="s">
        <v>7</v>
      </c>
      <c r="C9" s="1" t="s">
        <v>8</v>
      </c>
    </row>
    <row r="16" spans="1:14" x14ac:dyDescent="0.5">
      <c r="B16" t="s">
        <v>13</v>
      </c>
      <c r="C16" s="2">
        <f>C2</f>
        <v>45772</v>
      </c>
      <c r="D16" s="4" t="s">
        <v>15</v>
      </c>
    </row>
    <row r="17" spans="2:3" x14ac:dyDescent="0.5">
      <c r="B17" s="4" t="s">
        <v>10</v>
      </c>
      <c r="C17" s="4" t="s">
        <v>11</v>
      </c>
    </row>
    <row r="29" spans="2:3" x14ac:dyDescent="0.5">
      <c r="B29" s="4" t="s">
        <v>9</v>
      </c>
      <c r="C29" s="2">
        <f>C3</f>
        <v>45783</v>
      </c>
    </row>
    <row r="30" spans="2:3" x14ac:dyDescent="0.5">
      <c r="B30" s="4" t="s">
        <v>10</v>
      </c>
      <c r="C30" s="1" t="s">
        <v>11</v>
      </c>
    </row>
  </sheetData>
  <mergeCells count="2">
    <mergeCell ref="A1:C1"/>
    <mergeCell ref="B8:C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35962-B793-4062-AE35-D28323021671}">
  <dimension ref="A1:N34"/>
  <sheetViews>
    <sheetView topLeftCell="A13" workbookViewId="0">
      <selection activeCell="B34" sqref="B34"/>
    </sheetView>
  </sheetViews>
  <sheetFormatPr defaultRowHeight="14.35" x14ac:dyDescent="0.5"/>
  <cols>
    <col min="2" max="2" width="15.41015625" bestFit="1" customWidth="1"/>
    <col min="3" max="3" width="46" customWidth="1"/>
    <col min="4" max="4" width="12.703125" bestFit="1" customWidth="1"/>
    <col min="5" max="5" width="40.703125" customWidth="1"/>
  </cols>
  <sheetData>
    <row r="1" spans="1:14" ht="23.35" x14ac:dyDescent="0.8">
      <c r="A1" s="15" t="s">
        <v>0</v>
      </c>
      <c r="B1" s="15"/>
      <c r="C1" s="15"/>
      <c r="D1" s="7" t="s">
        <v>27</v>
      </c>
      <c r="E1" s="7" t="s">
        <v>18</v>
      </c>
    </row>
    <row r="2" spans="1:14" ht="39" customHeight="1" x14ac:dyDescent="0.6">
      <c r="B2" t="s">
        <v>20</v>
      </c>
      <c r="C2" s="2">
        <f>'25 Apr'!C3</f>
        <v>45783</v>
      </c>
      <c r="E2" s="5" t="s">
        <v>19</v>
      </c>
      <c r="F2" s="8"/>
      <c r="G2" s="8"/>
      <c r="H2" s="8"/>
      <c r="I2" s="8"/>
      <c r="J2" s="8"/>
      <c r="K2" s="8"/>
      <c r="L2" s="8"/>
      <c r="M2" s="8"/>
      <c r="N2" s="8"/>
    </row>
    <row r="3" spans="1:14" x14ac:dyDescent="0.5">
      <c r="B3" t="s">
        <v>12</v>
      </c>
      <c r="C3" s="2">
        <f>C2+3</f>
        <v>45786</v>
      </c>
    </row>
    <row r="4" spans="1:14" x14ac:dyDescent="0.5">
      <c r="B4" t="s">
        <v>3</v>
      </c>
      <c r="C4" t="s">
        <v>33</v>
      </c>
    </row>
    <row r="5" spans="1:14" x14ac:dyDescent="0.5">
      <c r="B5" t="s">
        <v>4</v>
      </c>
      <c r="C5" t="s">
        <v>34</v>
      </c>
    </row>
    <row r="6" spans="1:14" x14ac:dyDescent="0.5">
      <c r="B6" t="s">
        <v>5</v>
      </c>
      <c r="C6" t="s">
        <v>35</v>
      </c>
    </row>
    <row r="8" spans="1:14" x14ac:dyDescent="0.5">
      <c r="B8" s="16" t="s">
        <v>6</v>
      </c>
      <c r="C8" s="16"/>
    </row>
    <row r="9" spans="1:14" x14ac:dyDescent="0.5">
      <c r="B9" s="1" t="s">
        <v>7</v>
      </c>
      <c r="C9" s="1" t="s">
        <v>8</v>
      </c>
    </row>
    <row r="16" spans="1:14" x14ac:dyDescent="0.5">
      <c r="B16" t="s">
        <v>13</v>
      </c>
      <c r="C16" s="2">
        <f>C2</f>
        <v>45783</v>
      </c>
      <c r="D16" s="4" t="s">
        <v>15</v>
      </c>
    </row>
    <row r="17" spans="2:4" x14ac:dyDescent="0.5">
      <c r="B17" s="4" t="s">
        <v>10</v>
      </c>
      <c r="C17" s="4" t="s">
        <v>11</v>
      </c>
    </row>
    <row r="29" spans="2:4" x14ac:dyDescent="0.5">
      <c r="B29" s="4" t="s">
        <v>9</v>
      </c>
      <c r="C29" s="2">
        <f>C3</f>
        <v>45786</v>
      </c>
    </row>
    <row r="30" spans="2:4" x14ac:dyDescent="0.5">
      <c r="B30" s="4" t="s">
        <v>10</v>
      </c>
      <c r="C30" s="1" t="s">
        <v>21</v>
      </c>
    </row>
    <row r="31" spans="2:4" x14ac:dyDescent="0.5">
      <c r="B31" t="s">
        <v>41</v>
      </c>
      <c r="C31" t="s">
        <v>36</v>
      </c>
      <c r="D31">
        <v>1</v>
      </c>
    </row>
    <row r="32" spans="2:4" x14ac:dyDescent="0.5">
      <c r="B32" t="s">
        <v>43</v>
      </c>
      <c r="C32" t="s">
        <v>37</v>
      </c>
      <c r="D32">
        <v>2</v>
      </c>
    </row>
    <row r="33" spans="2:4" x14ac:dyDescent="0.5">
      <c r="B33" t="s">
        <v>44</v>
      </c>
      <c r="C33" t="s">
        <v>38</v>
      </c>
      <c r="D33">
        <v>3</v>
      </c>
    </row>
    <row r="34" spans="2:4" x14ac:dyDescent="0.5">
      <c r="B34" t="s">
        <v>42</v>
      </c>
      <c r="C34" t="s">
        <v>39</v>
      </c>
      <c r="D34">
        <v>4</v>
      </c>
    </row>
  </sheetData>
  <mergeCells count="2">
    <mergeCell ref="A1:C1"/>
    <mergeCell ref="B8:C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B6CC2-E414-4E52-936B-7C04C3571020}">
  <dimension ref="A1:N35"/>
  <sheetViews>
    <sheetView topLeftCell="A2" workbookViewId="0">
      <selection activeCell="B10" sqref="B10:D13"/>
    </sheetView>
  </sheetViews>
  <sheetFormatPr defaultRowHeight="14.35" x14ac:dyDescent="0.5"/>
  <cols>
    <col min="2" max="2" width="15.41015625" bestFit="1" customWidth="1"/>
    <col min="3" max="3" width="46" customWidth="1"/>
    <col min="4" max="4" width="12.703125" bestFit="1" customWidth="1"/>
    <col min="5" max="5" width="40.703125" customWidth="1"/>
  </cols>
  <sheetData>
    <row r="1" spans="1:14" ht="23.35" x14ac:dyDescent="0.8">
      <c r="A1" s="17" t="s">
        <v>0</v>
      </c>
      <c r="B1" s="17"/>
      <c r="C1" s="17"/>
      <c r="D1" s="6" t="s">
        <v>27</v>
      </c>
      <c r="E1" s="6" t="s">
        <v>18</v>
      </c>
      <c r="F1" s="19" t="s">
        <v>17</v>
      </c>
      <c r="G1" s="19"/>
      <c r="H1" s="19"/>
      <c r="I1" s="19"/>
      <c r="J1" s="19"/>
      <c r="K1" s="19"/>
      <c r="L1" s="19"/>
      <c r="M1" s="19"/>
      <c r="N1" s="19"/>
    </row>
    <row r="2" spans="1:14" ht="39" customHeight="1" x14ac:dyDescent="0.6">
      <c r="B2" t="s">
        <v>1</v>
      </c>
      <c r="C2" s="2">
        <f>'6 May'!C29</f>
        <v>45786</v>
      </c>
      <c r="E2" s="5" t="s">
        <v>19</v>
      </c>
      <c r="F2" s="18" t="s">
        <v>16</v>
      </c>
      <c r="G2" s="18"/>
      <c r="H2" s="18"/>
      <c r="I2" s="18"/>
      <c r="J2" s="18"/>
      <c r="K2" s="18"/>
      <c r="L2" s="18"/>
      <c r="M2" s="18"/>
      <c r="N2" s="18"/>
    </row>
    <row r="3" spans="1:14" x14ac:dyDescent="0.5">
      <c r="B3" t="s">
        <v>12</v>
      </c>
      <c r="C3" s="2">
        <f>C2</f>
        <v>45786</v>
      </c>
    </row>
    <row r="4" spans="1:14" x14ac:dyDescent="0.5">
      <c r="B4" t="s">
        <v>3</v>
      </c>
      <c r="C4" t="s">
        <v>33</v>
      </c>
      <c r="F4" s="10"/>
      <c r="G4" s="10"/>
      <c r="H4" s="10"/>
      <c r="I4" s="10"/>
      <c r="J4" s="10"/>
      <c r="K4" s="10"/>
      <c r="L4" s="10"/>
      <c r="M4" s="10"/>
      <c r="N4" s="10"/>
    </row>
    <row r="5" spans="1:14" x14ac:dyDescent="0.5">
      <c r="B5" t="s">
        <v>4</v>
      </c>
      <c r="C5" t="s">
        <v>34</v>
      </c>
      <c r="F5" s="10"/>
      <c r="G5" s="10"/>
      <c r="H5" s="10"/>
      <c r="I5" s="10"/>
      <c r="J5" s="10"/>
      <c r="K5" s="10"/>
      <c r="L5" s="10"/>
      <c r="M5" s="10"/>
      <c r="N5" s="10"/>
    </row>
    <row r="6" spans="1:14" x14ac:dyDescent="0.5">
      <c r="B6" t="s">
        <v>5</v>
      </c>
      <c r="C6" t="s">
        <v>35</v>
      </c>
      <c r="F6" s="10"/>
      <c r="G6" s="10"/>
      <c r="H6" s="10"/>
      <c r="I6" s="10"/>
      <c r="J6" s="10"/>
      <c r="K6" s="10"/>
      <c r="L6" s="10"/>
      <c r="M6" s="10"/>
      <c r="N6" s="10"/>
    </row>
    <row r="7" spans="1:14" x14ac:dyDescent="0.5">
      <c r="F7" s="10"/>
      <c r="G7" s="10"/>
      <c r="H7" s="10"/>
      <c r="I7" s="10"/>
      <c r="J7" s="10"/>
      <c r="K7" s="10"/>
      <c r="L7" s="10"/>
      <c r="M7" s="10"/>
      <c r="N7" s="10"/>
    </row>
    <row r="8" spans="1:14" x14ac:dyDescent="0.5">
      <c r="B8" s="16" t="s">
        <v>6</v>
      </c>
      <c r="C8" s="16"/>
      <c r="F8" s="10"/>
      <c r="G8" s="10"/>
      <c r="H8" s="10"/>
      <c r="I8" s="10"/>
      <c r="J8" s="10"/>
      <c r="K8" s="10"/>
      <c r="L8" s="10"/>
      <c r="M8" s="10"/>
      <c r="N8" s="10"/>
    </row>
    <row r="9" spans="1:14" x14ac:dyDescent="0.5">
      <c r="B9" s="1" t="s">
        <v>7</v>
      </c>
      <c r="C9" s="1" t="s">
        <v>8</v>
      </c>
      <c r="F9" s="10"/>
      <c r="G9" s="10"/>
      <c r="H9" s="10"/>
      <c r="I9" s="10"/>
      <c r="J9" s="10"/>
      <c r="K9" s="10"/>
      <c r="L9" s="10"/>
      <c r="M9" s="10"/>
      <c r="N9" s="10"/>
    </row>
    <row r="10" spans="1:14" x14ac:dyDescent="0.5">
      <c r="B10" t="str">
        <f>'6 May'!B31</f>
        <v>Video</v>
      </c>
      <c r="C10" t="str">
        <f>'6 May'!C31</f>
        <v>Video Presentation to describe project &amp; slides</v>
      </c>
      <c r="D10">
        <f>'6 May'!D31</f>
        <v>1</v>
      </c>
      <c r="F10" s="10"/>
      <c r="G10" s="10"/>
      <c r="H10" s="10"/>
      <c r="I10" s="10"/>
      <c r="J10" s="10"/>
      <c r="K10" s="10"/>
      <c r="L10" s="10"/>
      <c r="M10" s="10"/>
      <c r="N10" s="10"/>
    </row>
    <row r="11" spans="1:14" x14ac:dyDescent="0.5">
      <c r="B11" t="str">
        <f>'6 May'!B32</f>
        <v>Slides</v>
      </c>
      <c r="C11" t="str">
        <f>'6 May'!C32</f>
        <v>Final Scrum Report (this document)</v>
      </c>
      <c r="D11">
        <f>'6 May'!D32</f>
        <v>2</v>
      </c>
      <c r="F11" s="10"/>
      <c r="G11" s="10"/>
      <c r="H11" s="10"/>
      <c r="I11" s="10"/>
      <c r="J11" s="10"/>
      <c r="K11" s="10"/>
      <c r="L11" s="10"/>
      <c r="M11" s="10"/>
      <c r="N11" s="10"/>
    </row>
    <row r="12" spans="1:14" x14ac:dyDescent="0.5">
      <c r="B12" t="str">
        <f>'6 May'!B33</f>
        <v>Presentation</v>
      </c>
      <c r="C12" t="str">
        <f>'6 May'!C33</f>
        <v>Slide Presentation</v>
      </c>
      <c r="D12">
        <f>'6 May'!D33</f>
        <v>3</v>
      </c>
      <c r="F12" s="10"/>
      <c r="G12" s="10"/>
      <c r="H12" s="10"/>
      <c r="I12" s="10"/>
      <c r="J12" s="10"/>
      <c r="K12" s="10"/>
      <c r="L12" s="10"/>
      <c r="M12" s="10"/>
      <c r="N12" s="10"/>
    </row>
    <row r="13" spans="1:14" x14ac:dyDescent="0.5">
      <c r="B13" t="str">
        <f>'6 May'!B34</f>
        <v>Project</v>
      </c>
      <c r="C13" t="str">
        <f>'6 May'!C34</f>
        <v>Project Submittal</v>
      </c>
      <c r="D13">
        <f>'6 May'!D34</f>
        <v>4</v>
      </c>
      <c r="F13" s="10"/>
      <c r="G13" s="10"/>
      <c r="H13" s="10"/>
      <c r="I13" s="10"/>
      <c r="J13" s="10"/>
      <c r="K13" s="10"/>
      <c r="L13" s="10"/>
      <c r="M13" s="10"/>
      <c r="N13" s="10"/>
    </row>
    <row r="14" spans="1:14" x14ac:dyDescent="0.5">
      <c r="F14" s="10"/>
      <c r="G14" s="10"/>
      <c r="H14" s="10"/>
      <c r="I14" s="10"/>
      <c r="J14" s="10"/>
      <c r="K14" s="10"/>
      <c r="L14" s="10"/>
      <c r="M14" s="10"/>
      <c r="N14" s="10"/>
    </row>
    <row r="15" spans="1:14" x14ac:dyDescent="0.5">
      <c r="F15" s="10"/>
      <c r="G15" s="10"/>
      <c r="H15" s="10"/>
      <c r="I15" s="10"/>
      <c r="J15" s="10"/>
      <c r="K15" s="10"/>
      <c r="L15" s="10"/>
      <c r="M15" s="10"/>
      <c r="N15" s="10"/>
    </row>
    <row r="16" spans="1:14" x14ac:dyDescent="0.5">
      <c r="B16" t="s">
        <v>13</v>
      </c>
      <c r="C16" s="2">
        <f>C2</f>
        <v>45786</v>
      </c>
      <c r="F16" s="10"/>
      <c r="G16" s="10"/>
      <c r="H16" s="10"/>
      <c r="I16" s="10"/>
      <c r="J16" s="10"/>
      <c r="K16" s="10"/>
      <c r="L16" s="10"/>
      <c r="M16" s="10"/>
      <c r="N16" s="10"/>
    </row>
    <row r="17" spans="2:14" x14ac:dyDescent="0.5">
      <c r="B17" s="4" t="s">
        <v>10</v>
      </c>
      <c r="C17" s="4" t="s">
        <v>22</v>
      </c>
      <c r="D17" s="4" t="s">
        <v>15</v>
      </c>
      <c r="F17" s="10"/>
      <c r="G17" s="10"/>
      <c r="H17" s="10"/>
      <c r="I17" s="10"/>
      <c r="J17" s="10"/>
      <c r="K17" s="10"/>
      <c r="L17" s="10"/>
      <c r="M17" s="10"/>
      <c r="N17" s="10"/>
    </row>
    <row r="18" spans="2:14" x14ac:dyDescent="0.5">
      <c r="C18" t="s">
        <v>36</v>
      </c>
      <c r="D18">
        <v>1</v>
      </c>
      <c r="F18" s="10"/>
      <c r="G18" s="10"/>
      <c r="H18" s="10"/>
      <c r="I18" s="10"/>
      <c r="J18" s="10"/>
      <c r="K18" s="10"/>
      <c r="L18" s="10"/>
      <c r="M18" s="10"/>
      <c r="N18" s="10"/>
    </row>
    <row r="19" spans="2:14" x14ac:dyDescent="0.5">
      <c r="C19" t="s">
        <v>37</v>
      </c>
      <c r="D19">
        <v>2</v>
      </c>
      <c r="F19" s="10"/>
      <c r="G19" s="10"/>
      <c r="H19" s="10"/>
      <c r="I19" s="10"/>
      <c r="J19" s="10"/>
      <c r="K19" s="10"/>
      <c r="L19" s="10"/>
      <c r="M19" s="10"/>
      <c r="N19" s="10"/>
    </row>
    <row r="20" spans="2:14" x14ac:dyDescent="0.5">
      <c r="C20" t="s">
        <v>38</v>
      </c>
      <c r="D20">
        <v>3</v>
      </c>
      <c r="F20" s="10"/>
      <c r="G20" s="10"/>
      <c r="H20" s="10"/>
      <c r="I20" s="10"/>
      <c r="J20" s="10"/>
      <c r="K20" s="10"/>
      <c r="L20" s="10"/>
      <c r="M20" s="10"/>
      <c r="N20" s="10"/>
    </row>
    <row r="21" spans="2:14" x14ac:dyDescent="0.5">
      <c r="C21" t="s">
        <v>39</v>
      </c>
      <c r="D21">
        <v>4</v>
      </c>
      <c r="F21" s="10"/>
      <c r="G21" s="10"/>
      <c r="H21" s="10"/>
      <c r="I21" s="10"/>
      <c r="J21" s="10"/>
      <c r="K21" s="10"/>
      <c r="L21" s="10"/>
      <c r="M21" s="10"/>
      <c r="N21" s="10"/>
    </row>
    <row r="22" spans="2:14" x14ac:dyDescent="0.5">
      <c r="F22" s="10"/>
      <c r="G22" s="10"/>
      <c r="H22" s="10"/>
      <c r="I22" s="10"/>
      <c r="J22" s="10"/>
      <c r="K22" s="10"/>
      <c r="L22" s="10"/>
      <c r="M22" s="10"/>
      <c r="N22" s="10"/>
    </row>
    <row r="23" spans="2:14" x14ac:dyDescent="0.5">
      <c r="F23" s="10"/>
      <c r="G23" s="10"/>
      <c r="H23" s="10"/>
      <c r="I23" s="10"/>
      <c r="J23" s="10"/>
      <c r="K23" s="10"/>
      <c r="L23" s="10"/>
      <c r="M23" s="10"/>
      <c r="N23" s="10"/>
    </row>
    <row r="24" spans="2:14" x14ac:dyDescent="0.5">
      <c r="F24" s="10"/>
      <c r="G24" s="10"/>
      <c r="H24" s="10"/>
      <c r="I24" s="10"/>
      <c r="J24" s="10"/>
      <c r="K24" s="10"/>
      <c r="L24" s="10"/>
      <c r="M24" s="10"/>
      <c r="N24" s="10"/>
    </row>
    <row r="25" spans="2:14" x14ac:dyDescent="0.5">
      <c r="F25" s="10"/>
      <c r="G25" s="10"/>
      <c r="H25" s="10"/>
      <c r="I25" s="10"/>
      <c r="J25" s="10"/>
      <c r="K25" s="10"/>
      <c r="L25" s="10"/>
      <c r="M25" s="10"/>
      <c r="N25" s="10"/>
    </row>
    <row r="26" spans="2:14" x14ac:dyDescent="0.5">
      <c r="F26" s="10"/>
      <c r="G26" s="10"/>
      <c r="H26" s="10"/>
      <c r="I26" s="10"/>
      <c r="J26" s="10"/>
      <c r="K26" s="10"/>
      <c r="L26" s="10"/>
      <c r="M26" s="10"/>
      <c r="N26" s="10"/>
    </row>
    <row r="27" spans="2:14" x14ac:dyDescent="0.5">
      <c r="F27" s="10"/>
      <c r="G27" s="10"/>
      <c r="H27" s="10"/>
      <c r="I27" s="10"/>
      <c r="J27" s="10"/>
      <c r="K27" s="10"/>
      <c r="L27" s="10"/>
      <c r="M27" s="10"/>
      <c r="N27" s="10"/>
    </row>
    <row r="28" spans="2:14" x14ac:dyDescent="0.5">
      <c r="F28" s="10"/>
      <c r="G28" s="10"/>
      <c r="H28" s="10"/>
      <c r="I28" s="10"/>
      <c r="J28" s="10"/>
      <c r="K28" s="10"/>
      <c r="L28" s="10"/>
      <c r="M28" s="10"/>
      <c r="N28" s="10"/>
    </row>
    <row r="29" spans="2:14" x14ac:dyDescent="0.5">
      <c r="B29" s="4" t="s">
        <v>9</v>
      </c>
      <c r="C29" s="2">
        <f>C3</f>
        <v>45786</v>
      </c>
      <c r="F29" s="10"/>
      <c r="G29" s="10"/>
      <c r="H29" s="10"/>
      <c r="I29" s="10"/>
      <c r="J29" s="10"/>
      <c r="K29" s="10"/>
      <c r="L29" s="10"/>
      <c r="M29" s="10"/>
      <c r="N29" s="10"/>
    </row>
    <row r="30" spans="2:14" x14ac:dyDescent="0.5">
      <c r="B30" s="4" t="s">
        <v>10</v>
      </c>
      <c r="C30" s="1" t="s">
        <v>11</v>
      </c>
      <c r="F30" s="10"/>
      <c r="G30" s="10"/>
      <c r="H30" s="10"/>
      <c r="I30" s="10"/>
      <c r="J30" s="10"/>
      <c r="K30" s="10"/>
      <c r="L30" s="10"/>
      <c r="M30" s="10"/>
      <c r="N30" s="10"/>
    </row>
    <row r="31" spans="2:14" x14ac:dyDescent="0.5">
      <c r="C31" t="s">
        <v>23</v>
      </c>
      <c r="F31" s="10"/>
      <c r="G31" s="10"/>
      <c r="H31" s="10"/>
      <c r="I31" s="10"/>
      <c r="J31" s="10"/>
      <c r="K31" s="10"/>
      <c r="L31" s="10"/>
      <c r="M31" s="10"/>
      <c r="N31" s="10"/>
    </row>
    <row r="32" spans="2:14" x14ac:dyDescent="0.5">
      <c r="F32" s="10"/>
      <c r="G32" s="10"/>
      <c r="H32" s="10"/>
      <c r="I32" s="10"/>
      <c r="J32" s="10"/>
      <c r="K32" s="10"/>
      <c r="L32" s="10"/>
      <c r="M32" s="10"/>
      <c r="N32" s="10"/>
    </row>
    <row r="33" spans="6:14" x14ac:dyDescent="0.5">
      <c r="F33" s="10"/>
      <c r="G33" s="10"/>
      <c r="H33" s="10"/>
      <c r="I33" s="10"/>
      <c r="J33" s="10"/>
      <c r="K33" s="10"/>
      <c r="L33" s="10"/>
      <c r="M33" s="10"/>
      <c r="N33" s="10"/>
    </row>
    <row r="34" spans="6:14" x14ac:dyDescent="0.5">
      <c r="F34" s="10"/>
      <c r="G34" s="10"/>
      <c r="H34" s="10"/>
      <c r="I34" s="10"/>
      <c r="J34" s="10"/>
      <c r="K34" s="10"/>
      <c r="L34" s="10"/>
      <c r="M34" s="10"/>
      <c r="N34" s="10"/>
    </row>
    <row r="35" spans="6:14" x14ac:dyDescent="0.5">
      <c r="F35" s="10"/>
      <c r="G35" s="10"/>
      <c r="H35" s="10"/>
      <c r="I35" s="10"/>
      <c r="J35" s="10"/>
      <c r="K35" s="10"/>
      <c r="L35" s="10"/>
      <c r="M35" s="10"/>
      <c r="N35" s="10"/>
    </row>
  </sheetData>
  <mergeCells count="5">
    <mergeCell ref="A1:C1"/>
    <mergeCell ref="B8:C8"/>
    <mergeCell ref="F2:N2"/>
    <mergeCell ref="F4:N35"/>
    <mergeCell ref="F1:N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E5E75FC1DF6F145BFAEC137222EE7DF" ma:contentTypeVersion="3" ma:contentTypeDescription="Create a new document." ma:contentTypeScope="" ma:versionID="cec7c1021bc7ce9566b3d60a148821a1">
  <xsd:schema xmlns:xsd="http://www.w3.org/2001/XMLSchema" xmlns:xs="http://www.w3.org/2001/XMLSchema" xmlns:p="http://schemas.microsoft.com/office/2006/metadata/properties" xmlns:ns2="3c090fe0-0a85-46c2-a6a0-5610b56c0757" targetNamespace="http://schemas.microsoft.com/office/2006/metadata/properties" ma:root="true" ma:fieldsID="c95b3c89d5ab0ef8111e8a7a83c6b8a1" ns2:_="">
    <xsd:import namespace="3c090fe0-0a85-46c2-a6a0-5610b56c075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090fe0-0a85-46c2-a6a0-5610b56c07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BDA74C-906D-4E42-BAAC-8AC16CF01D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090fe0-0a85-46c2-a6a0-5610b56c07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2B70182-ACC6-4B41-97AA-5280766E0777}">
  <ds:schemaRefs>
    <ds:schemaRef ds:uri="http://schemas.microsoft.com/office/2006/documentManagement/types"/>
    <ds:schemaRef ds:uri="http://purl.org/dc/elements/1.1/"/>
    <ds:schemaRef ds:uri="http://schemas.microsoft.com/office/infopath/2007/PartnerControls"/>
    <ds:schemaRef ds:uri="http://www.w3.org/XML/1998/namespace"/>
    <ds:schemaRef ds:uri="http://purl.org/dc/dcmitype/"/>
    <ds:schemaRef ds:uri="3c090fe0-0a85-46c2-a6a0-5610b56c0757"/>
    <ds:schemaRef ds:uri="http://schemas.openxmlformats.org/package/2006/metadata/core-propertie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9347D2B2-E22F-48F2-891B-DE352B9216F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15 Apr</vt:lpstr>
      <vt:lpstr>18 Apr</vt:lpstr>
      <vt:lpstr>22 Apr</vt:lpstr>
      <vt:lpstr>25 Apr</vt:lpstr>
      <vt:lpstr>6 May</vt:lpstr>
      <vt:lpstr>Final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network.class</dc:creator>
  <cp:keywords/>
  <dc:description/>
  <cp:lastModifiedBy>Eye, Ethan</cp:lastModifiedBy>
  <cp:revision/>
  <dcterms:created xsi:type="dcterms:W3CDTF">2021-04-21T16:04:17Z</dcterms:created>
  <dcterms:modified xsi:type="dcterms:W3CDTF">2025-04-15T02:25:02Z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0x010100AE5E75FC1DF6F145BFAEC137222EE7DF</vt:lpwstr>
  </property>
</Properties>
</file>